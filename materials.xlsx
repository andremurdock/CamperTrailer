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teria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<sst xmlns="http://schemas.openxmlformats.org/spreadsheetml/2006/main" count="288" uniqueCount="147">
  <si>
    <t xml:space="preserve">Build cost summary</t>
  </si>
  <si>
    <t xml:space="preserve">Section</t>
  </si>
  <si>
    <t xml:space="preserve">Budget</t>
  </si>
  <si>
    <t xml:space="preserve">Actual paid</t>
  </si>
  <si>
    <t xml:space="preserve">Doors &amp; windows</t>
  </si>
  <si>
    <t xml:space="preserve">False wall (bolt-in)</t>
  </si>
  <si>
    <t xml:space="preserve">Ramp deck</t>
  </si>
  <si>
    <t xml:space="preserve">Insulation &amp; finish</t>
  </si>
  <si>
    <t xml:space="preserve">E-track &amp; bed</t>
  </si>
  <si>
    <t xml:space="preserve">Climate &amp; safety</t>
  </si>
  <si>
    <t xml:space="preserve">Electrical &amp; solar</t>
  </si>
  <si>
    <t xml:space="preserve">Tongue battery box</t>
  </si>
  <si>
    <t xml:space="preserve">Wash corner</t>
  </si>
  <si>
    <t xml:space="preserve">Outdoor kitchen</t>
  </si>
  <si>
    <t xml:space="preserve">Optional off-road</t>
  </si>
  <si>
    <t xml:space="preserve">Total, all items</t>
  </si>
  <si>
    <t xml:space="preserve">Total without optional off-road</t>
  </si>
  <si>
    <t xml:space="preserve">Listed prices: rooftop AC, battery, converter/charger, toilet. Everything else is Claude's rough estimate, not a quote.</t>
  </si>
  <si>
    <t xml:space="preserve">5x10 cargo camper build - materials list</t>
  </si>
  <si>
    <t xml:space="preserve">How to use: blue numbers are the budget (rough estimates unless a source is noted) - edit them freely. Enter what you actually pay in the yellow 'Actual paid' column (example: 615 for the door). Totals update automatically.</t>
  </si>
  <si>
    <t xml:space="preserve">Item</t>
  </si>
  <si>
    <t xml:space="preserve">Qty</t>
  </si>
  <si>
    <t xml:space="preserve">Unit</t>
  </si>
  <si>
    <t xml:space="preserve">Budget each</t>
  </si>
  <si>
    <t xml:space="preserve">Budget total</t>
  </si>
  <si>
    <t xml:space="preserve">Notes / source</t>
  </si>
  <si>
    <t xml:space="preserve">Door for false wall, ~24 in wide, under 60 in tall (used/eBay/salvage)</t>
  </si>
  <si>
    <t xml:space="preserve">ea</t>
  </si>
  <si>
    <t xml:space="preserve">New Challenger 805 26x36 lists ~$615-953 (elkhartrvparts.com); match wall-thickness range, right hinge</t>
  </si>
  <si>
    <t xml:space="preserve">Window for false wall, ~24x18 with screen (used/eBay)</t>
  </si>
  <si>
    <t xml:space="preserve">Set bottom above the 34 in sink counter</t>
  </si>
  <si>
    <t xml:space="preserve">RV side windows ~24x15 with screens (used/eBay)</t>
  </si>
  <si>
    <t xml:space="preserve">New EZ Lite 23x14 is $159.95 (walmart.com); size one for egress</t>
  </si>
  <si>
    <t xml:space="preserve">Front window ~36x15-18, acrylic/polycarbonate (used/eBay)</t>
  </si>
  <si>
    <t xml:space="preserve">High and centered, 38-52 in off floor</t>
  </si>
  <si>
    <t xml:space="preserve">Removable front rock guard</t>
  </si>
  <si>
    <t xml:space="preserve">Bolt on for travel</t>
  </si>
  <si>
    <t xml:space="preserve">Window framing tube + rivet nuts</t>
  </si>
  <si>
    <t xml:space="preserve">lot</t>
  </si>
  <si>
    <t xml:space="preserve">5 openings between wall posts</t>
  </si>
  <si>
    <t xml:space="preserve">Skylight, ~14x22 in, dome + interior trim (eBay)</t>
  </si>
  <si>
    <t xml:space="preserve">Rear of roof, over entry</t>
  </si>
  <si>
    <t xml:space="preserve">Butyl tape + self-leveling lap sealant</t>
  </si>
  <si>
    <t xml:space="preserve">Every roof/wall penetration</t>
  </si>
  <si>
    <t xml:space="preserve">Reflective window shades</t>
  </si>
  <si>
    <t xml:space="preserve">Steel tube to match trailer frame</t>
  </si>
  <si>
    <t xml:space="preserve">ft</t>
  </si>
  <si>
    <t xml:space="preserve">Perimeter, door, window and heater-port openings</t>
  </si>
  <si>
    <t xml:space="preserve">Bolt-on tabs, grade 8 bolts, rivet nuts</t>
  </si>
  <si>
    <t xml:space="preserve">Removable for hauling</t>
  </si>
  <si>
    <t xml:space="preserve">Wall skins: aluminum/FRP outside + interior panel</t>
  </si>
  <si>
    <t xml:space="preserve">3/4-1 in polyiso foam for wall cavities</t>
  </si>
  <si>
    <t xml:space="preserve">sheet</t>
  </si>
  <si>
    <t xml:space="preserve">Perimeter gasket/seal + drip edge</t>
  </si>
  <si>
    <t xml:space="preserve">Heater duct port (~3 in, capped)</t>
  </si>
  <si>
    <t xml:space="preserve">Low center section, between window and door</t>
  </si>
  <si>
    <t xml:space="preserve">Exterior weatherproof 12V outlet + plug-in connector</t>
  </si>
  <si>
    <t xml:space="preserve">set</t>
  </si>
  <si>
    <t xml:space="preserve">Powers the portable diesel heater; wall stays removable</t>
  </si>
  <si>
    <t xml:space="preserve">Adjustable support legs / jack stands for ramp</t>
  </si>
  <si>
    <t xml:space="preserve">Interlocking deck tiles or outdoor rug, 5x5 ft</t>
  </si>
  <si>
    <t xml:space="preserve">Removable railing + step</t>
  </si>
  <si>
    <t xml:space="preserve">Two folding camp chairs</t>
  </si>
  <si>
    <t xml:space="preserve">Rear awning + keder rail on rear header</t>
  </si>
  <si>
    <t xml:space="preserve">Covers deck and door</t>
  </si>
  <si>
    <t xml:space="preserve">1 in polyiso foam board, 4x8</t>
  </si>
  <si>
    <t xml:space="preserve">Walls, ceiling, front wall</t>
  </si>
  <si>
    <t xml:space="preserve">Reflectix + foil tape</t>
  </si>
  <si>
    <t xml:space="preserve">roll</t>
  </si>
  <si>
    <t xml:space="preserve">Wall/ceiling paneling, 1/4 in plywood or FRP, 4x8</t>
  </si>
  <si>
    <t xml:space="preserve">Floor insulation + vinyl or rubber flooring</t>
  </si>
  <si>
    <t xml:space="preserve">Washable for hauling</t>
  </si>
  <si>
    <t xml:space="preserve">3/4 in plywood backer strips for E-track</t>
  </si>
  <si>
    <t xml:space="preserve">White reflective roof coating</t>
  </si>
  <si>
    <t xml:space="preserve">gal</t>
  </si>
  <si>
    <t xml:space="preserve">Biggest summer heat gain is the roof</t>
  </si>
  <si>
    <t xml:space="preserve">Horizontal E-track, 5 ft sections</t>
  </si>
  <si>
    <t xml:space="preserve">3 rows x 2 walls + front wall</t>
  </si>
  <si>
    <t xml:space="preserve">Vertical E-track strips (adjustable desk height)</t>
  </si>
  <si>
    <t xml:space="preserve">E-track 2x4 beam sockets</t>
  </si>
  <si>
    <t xml:space="preserve">Bed at ~10 in, desk at ~30-32 in</t>
  </si>
  <si>
    <t xml:space="preserve">E-track single-stud fittings + shelf brackets</t>
  </si>
  <si>
    <t xml:space="preserve">2x4 lumber for beams</t>
  </si>
  <si>
    <t xml:space="preserve">Plywood for bed/desk panels (3 panels ~57x24)</t>
  </si>
  <si>
    <t xml:space="preserve">Laminate top for desk panel</t>
  </si>
  <si>
    <t xml:space="preserve">Tri-fold mattress, full (54x75), 6 in</t>
  </si>
  <si>
    <t xml:space="preserve">Ventilated mattress underlay</t>
  </si>
  <si>
    <t xml:space="preserve">High shelves / cabinet materials</t>
  </si>
  <si>
    <t xml:space="preserve">12V rooftop AC/heater, 10,000 BTU (with heater option)</t>
  </si>
  <si>
    <t xml:space="preserve">Listed $976 with optional PTC heater (outequippro.com); 21-58A at 12V</t>
  </si>
  <si>
    <t xml:space="preserve">Roof cross-framing under the AC</t>
  </si>
  <si>
    <t xml:space="preserve">45 lb unit, 14x14 in cutout, middle of roof</t>
  </si>
  <si>
    <t xml:space="preserve">AC power cable, 100A fuse, disconnect switch</t>
  </si>
  <si>
    <t xml:space="preserve">~12-15 ft from tongue box; size cable per maker's chart</t>
  </si>
  <si>
    <t xml:space="preserve">Portable all-in-one diesel heater</t>
  </si>
  <si>
    <t xml:space="preserve">Runs outside on/near the deck, ducts in through false wall</t>
  </si>
  <si>
    <t xml:space="preserve">Heat shield + spill tray for heater</t>
  </si>
  <si>
    <t xml:space="preserve">Roof fan, reversible with rain cover</t>
  </si>
  <si>
    <t xml:space="preserve">Front of roof, over head of bed</t>
  </si>
  <si>
    <t xml:space="preserve">Smoke + CO detector</t>
  </si>
  <si>
    <t xml:space="preserve">Fire extinguisher</t>
  </si>
  <si>
    <t xml:space="preserve">Redodo 12V 200Ah LiFePO4 battery</t>
  </si>
  <si>
    <t xml:space="preserve">Listed $449.99, 200A BMS, 5-yr warranty (redodopower.com)</t>
  </si>
  <si>
    <t xml:space="preserve">Progressive Dynamics PD89RR 80A converter/charger (LiFePO4 setting)</t>
  </si>
  <si>
    <t xml:space="preserve">Listed $367 (etrailer.com); keeps up with the AC on the generator</t>
  </si>
  <si>
    <t xml:space="preserve">MPPT solar charge controller, 20-30A</t>
  </si>
  <si>
    <t xml:space="preserve">200W folding solar panel</t>
  </si>
  <si>
    <t xml:space="preserve">Set in the sun like the Starlink dish</t>
  </si>
  <si>
    <t xml:space="preserve">Side-wall solar port + 30-50 ft heavy extension cable</t>
  </si>
  <si>
    <t xml:space="preserve">Small pure sine inverter (only if needed, e.g. CPAP)</t>
  </si>
  <si>
    <t xml:space="preserve">Skip if nothing 120V runs after 9 pm</t>
  </si>
  <si>
    <t xml:space="preserve">30A shore power inlet + cord</t>
  </si>
  <si>
    <t xml:space="preserve">30A-to-15/20A adapter for generator</t>
  </si>
  <si>
    <t xml:space="preserve">Champion 2500 has 20A household outlets</t>
  </si>
  <si>
    <t xml:space="preserve">120V breaker panel, 12V fuse block, wire, connectors</t>
  </si>
  <si>
    <t xml:space="preserve">LED lights + switches</t>
  </si>
  <si>
    <t xml:space="preserve">12V sockets + USB/USB-C ports</t>
  </si>
  <si>
    <t xml:space="preserve">Charge phones and laptops on battery</t>
  </si>
  <si>
    <t xml:space="preserve">120V outlets (GFCI)</t>
  </si>
  <si>
    <t xml:space="preserve">Live on generator or campsite power</t>
  </si>
  <si>
    <t xml:space="preserve">Generator chain + lock (truck bed)</t>
  </si>
  <si>
    <t xml:space="preserve">Already own the Champion 2500</t>
  </si>
  <si>
    <t xml:space="preserve">Existing Mopar H7 starting battery</t>
  </si>
  <si>
    <t xml:space="preserve">Already own; reuse for tongue jack or spare, not house power</t>
  </si>
  <si>
    <t xml:space="preserve">Vented, lockable battery box on the tongue</t>
  </si>
  <si>
    <t xml:space="preserve">Generator and solar panel ride in the truck bed</t>
  </si>
  <si>
    <t xml:space="preserve">Bar sink + faucet</t>
  </si>
  <si>
    <t xml:space="preserve">12V water pump</t>
  </si>
  <si>
    <t xml:space="preserve">Fresh + gray water jugs</t>
  </si>
  <si>
    <t xml:space="preserve">120V mini water heater, ~2.5 gal</t>
  </si>
  <si>
    <t xml:space="preserve">Heats while the generator or shore power is on</t>
  </si>
  <si>
    <t xml:space="preserve">Plumbing + quick-connect fittings</t>
  </si>
  <si>
    <t xml:space="preserve">Open sink stand on E-track (frame, counter, hardware)</t>
  </si>
  <si>
    <t xml:space="preserve">Portable cassette toilet (Porta Potti 135 or similar)</t>
  </si>
  <si>
    <t xml:space="preserve">Listed ~$85-$116 (campervan-hq.com, superarbor.io); 15x13.5x12.2 in</t>
  </si>
  <si>
    <t xml:space="preserve">Toilet sliding tray: 100+ lb slides + latch</t>
  </si>
  <si>
    <t xml:space="preserve">Travel straps / front bar</t>
  </si>
  <si>
    <t xml:space="preserve">Open stand, no doors</t>
  </si>
  <si>
    <t xml:space="preserve">Propane camp stove + hose</t>
  </si>
  <si>
    <t xml:space="preserve">Outdoor only</t>
  </si>
  <si>
    <t xml:space="preserve">20 lb propane tank (separate from generator's)</t>
  </si>
  <si>
    <t xml:space="preserve">$0 if you already have one</t>
  </si>
  <si>
    <t xml:space="preserve">Axle flip or lift kit</t>
  </si>
  <si>
    <t xml:space="preserve">job</t>
  </si>
  <si>
    <t xml:space="preserve">Optional</t>
  </si>
  <si>
    <t xml:space="preserve">All-terrain trailer tires (2 + spare)</t>
  </si>
  <si>
    <t xml:space="preserve">Total (all items)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</si>
</sst>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f aca="false">SUMIFS(Materials!$F$5:$F$77,Materials!$A$5:$A$77,$A4)</f>
        <v>670</v>
      </c>
      <c r="C4" s="4" t="n">
        <f aca="false">SUMIFS(Materials!$G$5:$G$77,Materials!$A$5:$A$77,$A4)</f>
        <v>0</v>
      </c>
    </row>
    <row r="5" customFormat="false" ht="15" hidden="false" customHeight="false" outlineLevel="0" collapsed="false">
      <c r="A5" s="3" t="s">
        <v>5</v>
      </c>
      <c r="B5" s="4" t="n">
        <f aca="false">SUMIFS(Materials!$F$5:$F$77,Materials!$A$5:$A$77,$A5)</f>
        <v>280</v>
      </c>
      <c r="C5" s="4" t="n">
        <f aca="false">SUMIFS(Materials!$G$5:$G$77,Materials!$A$5:$A$77,$A5)</f>
        <v>0</v>
      </c>
    </row>
    <row r="6" customFormat="false" ht="15" hidden="false" customHeight="false" outlineLevel="0" collapsed="false">
      <c r="A6" s="3" t="s">
        <v>6</v>
      </c>
      <c r="B6" s="4" t="n">
        <f aca="false">SUMIFS(Materials!$F$5:$F$77,Materials!$A$5:$A$77,$A6)</f>
        <v>330</v>
      </c>
      <c r="C6" s="4" t="n">
        <f aca="false">SUMIFS(Materials!$G$5:$G$77,Materials!$A$5:$A$77,$A6)</f>
        <v>0</v>
      </c>
    </row>
    <row r="7" customFormat="false" ht="15" hidden="false" customHeight="false" outlineLevel="0" collapsed="false">
      <c r="A7" s="3" t="s">
        <v>7</v>
      </c>
      <c r="B7" s="4" t="n">
        <f aca="false">SUMIFS(Materials!$F$5:$F$77,Materials!$A$5:$A$77,$A7)</f>
        <v>720</v>
      </c>
      <c r="C7" s="4" t="n">
        <f aca="false">SUMIFS(Materials!$G$5:$G$77,Materials!$A$5:$A$77,$A7)</f>
        <v>0</v>
      </c>
    </row>
    <row r="8" customFormat="false" ht="15" hidden="false" customHeight="false" outlineLevel="0" collapsed="false">
      <c r="A8" s="3" t="s">
        <v>8</v>
      </c>
      <c r="B8" s="4" t="n">
        <f aca="false">SUMIFS(Materials!$F$5:$F$77,Materials!$A$5:$A$77,$A8)</f>
        <v>884</v>
      </c>
      <c r="C8" s="4" t="n">
        <f aca="false">SUMIFS(Materials!$G$5:$G$77,Materials!$A$5:$A$77,$A8)</f>
        <v>0</v>
      </c>
    </row>
    <row r="9" customFormat="false" ht="15" hidden="false" customHeight="false" outlineLevel="0" collapsed="false">
      <c r="A9" s="3" t="s">
        <v>9</v>
      </c>
      <c r="B9" s="4" t="n">
        <f aca="false">SUMIFS(Materials!$F$5:$F$77,Materials!$A$5:$A$77,$A9)</f>
        <v>1531</v>
      </c>
      <c r="C9" s="4" t="n">
        <f aca="false">SUMIFS(Materials!$G$5:$G$77,Materials!$A$5:$A$77,$A9)</f>
        <v>0</v>
      </c>
    </row>
    <row r="10" customFormat="false" ht="15" hidden="false" customHeight="false" outlineLevel="0" collapsed="false">
      <c r="A10" s="3" t="s">
        <v>10</v>
      </c>
      <c r="B10" s="4" t="n">
        <f aca="false">SUMIFS(Materials!$F$5:$F$77,Materials!$A$5:$A$77,$A10)</f>
        <v>1412</v>
      </c>
      <c r="C10" s="4" t="n">
        <f aca="false">SUMIFS(Materials!$G$5:$G$77,Materials!$A$5:$A$77,$A10)</f>
        <v>0</v>
      </c>
    </row>
    <row r="11" customFormat="false" ht="15" hidden="false" customHeight="false" outlineLevel="0" collapsed="false">
      <c r="A11" s="3" t="s">
        <v>11</v>
      </c>
      <c r="B11" s="4" t="n">
        <f aca="false">SUMIFS(Materials!$F$5:$F$77,Materials!$A$5:$A$77,$A11)</f>
        <v>50</v>
      </c>
      <c r="C11" s="4" t="n">
        <f aca="false">SUMIFS(Materials!$G$5:$G$77,Materials!$A$5:$A$77,$A11)</f>
        <v>0</v>
      </c>
    </row>
    <row r="12" customFormat="false" ht="15" hidden="false" customHeight="false" outlineLevel="0" collapsed="false">
      <c r="A12" s="3" t="s">
        <v>12</v>
      </c>
      <c r="B12" s="4" t="n">
        <f aca="false">SUMIFS(Materials!$F$5:$F$77,Materials!$A$5:$A$77,$A12)</f>
        <v>525</v>
      </c>
      <c r="C12" s="4" t="n">
        <f aca="false">SUMIFS(Materials!$G$5:$G$77,Materials!$A$5:$A$77,$A12)</f>
        <v>0</v>
      </c>
    </row>
    <row r="13" customFormat="false" ht="15" hidden="false" customHeight="false" outlineLevel="0" collapsed="false">
      <c r="A13" s="3" t="s">
        <v>13</v>
      </c>
      <c r="B13" s="4" t="n">
        <f aca="false">SUMIFS(Materials!$F$5:$F$77,Materials!$A$5:$A$77,$A13)</f>
        <v>60</v>
      </c>
      <c r="C13" s="4" t="n">
        <f aca="false">SUMIFS(Materials!$G$5:$G$77,Materials!$A$5:$A$77,$A13)</f>
        <v>0</v>
      </c>
    </row>
    <row r="14" customFormat="false" ht="15" hidden="false" customHeight="false" outlineLevel="0" collapsed="false">
      <c r="A14" s="3" t="s">
        <v>14</v>
      </c>
      <c r="B14" s="4" t="n">
        <f aca="false">SUMIFS(Materials!$F$5:$F$77,Materials!$A$5:$A$77,$A14)</f>
        <v>600</v>
      </c>
      <c r="C14" s="4" t="n">
        <f aca="false">SUMIFS(Materials!$G$5:$G$77,Materials!$A$5:$A$77,$A14)</f>
        <v>0</v>
      </c>
    </row>
    <row r="15" customFormat="false" ht="15" hidden="false" customHeight="false" outlineLevel="0" collapsed="false">
      <c r="A15" s="5" t="s">
        <v>15</v>
      </c>
      <c r="B15" s="6" t="n">
        <f aca="false">SUM(B4:B14)</f>
        <v>7062</v>
      </c>
      <c r="C15" s="6" t="n">
        <f aca="false">SUM(C4:C14)</f>
        <v>0</v>
      </c>
    </row>
    <row r="16" customFormat="false" ht="15" hidden="false" customHeight="false" outlineLevel="0" collapsed="false">
      <c r="A16" s="5" t="s">
        <v>16</v>
      </c>
      <c r="B16" s="6" t="n">
        <f aca="false">B15-B14</f>
        <v>6462</v>
      </c>
      <c r="C16" s="6" t="n">
        <f aca="false">C15-C14</f>
        <v>0</v>
      </c>
    </row>
    <row r="18" customFormat="false" ht="15" hidden="false" customHeight="false" outlineLevel="0" collapsed="false">
      <c r="A18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18</v>
      </c>
    </row>
    <row r="2" customFormat="false" ht="30" hidden="false" customHeight="true" outlineLevel="0" collapsed="false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26.85" hidden="false" customHeight="false" outlineLevel="0" collapsed="false">
      <c r="A4" s="9" t="s">
        <v>1</v>
      </c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9" t="s">
        <v>3</v>
      </c>
      <c r="H4" s="9" t="s">
        <v>25</v>
      </c>
    </row>
    <row r="5" customFormat="false" ht="39.55" hidden="false" customHeight="false" outlineLevel="0" collapsed="false">
      <c r="A5" s="10" t="s">
        <v>4</v>
      </c>
      <c r="B5" s="11" t="s">
        <v>26</v>
      </c>
      <c r="C5" s="12" t="n">
        <v>1</v>
      </c>
      <c r="D5" s="10" t="s">
        <v>27</v>
      </c>
      <c r="E5" s="13" t="n">
        <v>150</v>
      </c>
      <c r="F5" s="14" t="n">
        <f aca="false">C5*E5</f>
        <v>150</v>
      </c>
      <c r="G5" s="15"/>
      <c r="H5" s="11" t="s">
        <v>28</v>
      </c>
    </row>
    <row r="6" customFormat="false" ht="26.85" hidden="false" customHeight="false" outlineLevel="0" collapsed="false">
      <c r="A6" s="10" t="s">
        <v>4</v>
      </c>
      <c r="B6" s="11" t="s">
        <v>29</v>
      </c>
      <c r="C6" s="12" t="n">
        <v>1</v>
      </c>
      <c r="D6" s="10" t="s">
        <v>27</v>
      </c>
      <c r="E6" s="13" t="n">
        <v>50</v>
      </c>
      <c r="F6" s="14" t="n">
        <f aca="false">C6*E6</f>
        <v>50</v>
      </c>
      <c r="G6" s="15"/>
      <c r="H6" s="11" t="s">
        <v>30</v>
      </c>
    </row>
    <row r="7" customFormat="false" ht="26.85" hidden="false" customHeight="false" outlineLevel="0" collapsed="false">
      <c r="A7" s="10" t="s">
        <v>4</v>
      </c>
      <c r="B7" s="11" t="s">
        <v>31</v>
      </c>
      <c r="C7" s="12" t="n">
        <v>4</v>
      </c>
      <c r="D7" s="10" t="s">
        <v>27</v>
      </c>
      <c r="E7" s="13" t="n">
        <v>50</v>
      </c>
      <c r="F7" s="14" t="n">
        <f aca="false">C7*E7</f>
        <v>200</v>
      </c>
      <c r="G7" s="15"/>
      <c r="H7" s="11" t="s">
        <v>32</v>
      </c>
    </row>
    <row r="8" customFormat="false" ht="26.85" hidden="false" customHeight="false" outlineLevel="0" collapsed="false">
      <c r="A8" s="10" t="s">
        <v>4</v>
      </c>
      <c r="B8" s="11" t="s">
        <v>33</v>
      </c>
      <c r="C8" s="12" t="n">
        <v>1</v>
      </c>
      <c r="D8" s="10" t="s">
        <v>27</v>
      </c>
      <c r="E8" s="13" t="n">
        <v>60</v>
      </c>
      <c r="F8" s="14" t="n">
        <f aca="false">C8*E8</f>
        <v>60</v>
      </c>
      <c r="G8" s="15"/>
      <c r="H8" s="11" t="s">
        <v>34</v>
      </c>
    </row>
    <row r="9" customFormat="false" ht="15" hidden="false" customHeight="false" outlineLevel="0" collapsed="false">
      <c r="A9" s="10" t="s">
        <v>4</v>
      </c>
      <c r="B9" s="11" t="s">
        <v>35</v>
      </c>
      <c r="C9" s="12" t="n">
        <v>1</v>
      </c>
      <c r="D9" s="10" t="s">
        <v>27</v>
      </c>
      <c r="E9" s="13" t="n">
        <v>40</v>
      </c>
      <c r="F9" s="14" t="n">
        <f aca="false">C9*E9</f>
        <v>40</v>
      </c>
      <c r="G9" s="15"/>
      <c r="H9" s="11" t="s">
        <v>36</v>
      </c>
    </row>
    <row r="10" customFormat="false" ht="15" hidden="false" customHeight="false" outlineLevel="0" collapsed="false">
      <c r="A10" s="10" t="s">
        <v>4</v>
      </c>
      <c r="B10" s="11" t="s">
        <v>37</v>
      </c>
      <c r="C10" s="12" t="n">
        <v>1</v>
      </c>
      <c r="D10" s="10" t="s">
        <v>38</v>
      </c>
      <c r="E10" s="13" t="n">
        <v>60</v>
      </c>
      <c r="F10" s="14" t="n">
        <f aca="false">C10*E10</f>
        <v>60</v>
      </c>
      <c r="G10" s="15"/>
      <c r="H10" s="11" t="s">
        <v>39</v>
      </c>
    </row>
    <row r="11" customFormat="false" ht="15" hidden="false" customHeight="false" outlineLevel="0" collapsed="false">
      <c r="A11" s="10" t="s">
        <v>4</v>
      </c>
      <c r="B11" s="11" t="s">
        <v>40</v>
      </c>
      <c r="C11" s="12" t="n">
        <v>1</v>
      </c>
      <c r="D11" s="10" t="s">
        <v>27</v>
      </c>
      <c r="E11" s="13" t="n">
        <v>30</v>
      </c>
      <c r="F11" s="14" t="n">
        <f aca="false">C11*E11</f>
        <v>30</v>
      </c>
      <c r="G11" s="15"/>
      <c r="H11" s="11" t="s">
        <v>41</v>
      </c>
    </row>
    <row r="12" customFormat="false" ht="15" hidden="false" customHeight="false" outlineLevel="0" collapsed="false">
      <c r="A12" s="10" t="s">
        <v>4</v>
      </c>
      <c r="B12" s="11" t="s">
        <v>42</v>
      </c>
      <c r="C12" s="12" t="n">
        <v>1</v>
      </c>
      <c r="D12" s="10" t="s">
        <v>38</v>
      </c>
      <c r="E12" s="13" t="n">
        <v>50</v>
      </c>
      <c r="F12" s="14" t="n">
        <f aca="false">C12*E12</f>
        <v>50</v>
      </c>
      <c r="G12" s="15"/>
      <c r="H12" s="11" t="s">
        <v>43</v>
      </c>
    </row>
    <row r="13" customFormat="false" ht="15" hidden="false" customHeight="false" outlineLevel="0" collapsed="false">
      <c r="A13" s="10" t="s">
        <v>4</v>
      </c>
      <c r="B13" s="11" t="s">
        <v>44</v>
      </c>
      <c r="C13" s="12" t="n">
        <v>1</v>
      </c>
      <c r="D13" s="10" t="s">
        <v>38</v>
      </c>
      <c r="E13" s="13" t="n">
        <v>30</v>
      </c>
      <c r="F13" s="14" t="n">
        <f aca="false">C13*E13</f>
        <v>30</v>
      </c>
      <c r="G13" s="15"/>
      <c r="H13" s="11"/>
    </row>
    <row r="14" customFormat="false" ht="26.85" hidden="false" customHeight="false" outlineLevel="0" collapsed="false">
      <c r="A14" s="10" t="s">
        <v>5</v>
      </c>
      <c r="B14" s="11" t="s">
        <v>45</v>
      </c>
      <c r="C14" s="12" t="n">
        <v>40</v>
      </c>
      <c r="D14" s="10" t="s">
        <v>46</v>
      </c>
      <c r="E14" s="13" t="n">
        <v>2</v>
      </c>
      <c r="F14" s="14" t="n">
        <f aca="false">C14*E14</f>
        <v>80</v>
      </c>
      <c r="G14" s="15"/>
      <c r="H14" s="11" t="s">
        <v>47</v>
      </c>
    </row>
    <row r="15" customFormat="false" ht="15" hidden="false" customHeight="false" outlineLevel="0" collapsed="false">
      <c r="A15" s="10" t="s">
        <v>5</v>
      </c>
      <c r="B15" s="11" t="s">
        <v>48</v>
      </c>
      <c r="C15" s="12" t="n">
        <v>1</v>
      </c>
      <c r="D15" s="10" t="s">
        <v>38</v>
      </c>
      <c r="E15" s="13" t="n">
        <v>40</v>
      </c>
      <c r="F15" s="14" t="n">
        <f aca="false">C15*E15</f>
        <v>40</v>
      </c>
      <c r="G15" s="15"/>
      <c r="H15" s="11" t="s">
        <v>49</v>
      </c>
    </row>
    <row r="16" customFormat="false" ht="15" hidden="false" customHeight="false" outlineLevel="0" collapsed="false">
      <c r="A16" s="10" t="s">
        <v>5</v>
      </c>
      <c r="B16" s="11" t="s">
        <v>50</v>
      </c>
      <c r="C16" s="12" t="n">
        <v>1</v>
      </c>
      <c r="D16" s="10" t="s">
        <v>38</v>
      </c>
      <c r="E16" s="13" t="n">
        <v>60</v>
      </c>
      <c r="F16" s="14" t="n">
        <f aca="false">C16*E16</f>
        <v>60</v>
      </c>
      <c r="G16" s="15"/>
      <c r="H16" s="11"/>
    </row>
    <row r="17" customFormat="false" ht="15" hidden="false" customHeight="false" outlineLevel="0" collapsed="false">
      <c r="A17" s="10" t="s">
        <v>5</v>
      </c>
      <c r="B17" s="11" t="s">
        <v>51</v>
      </c>
      <c r="C17" s="12" t="n">
        <v>1</v>
      </c>
      <c r="D17" s="10" t="s">
        <v>52</v>
      </c>
      <c r="E17" s="13" t="n">
        <v>25</v>
      </c>
      <c r="F17" s="14" t="n">
        <f aca="false">C17*E17</f>
        <v>25</v>
      </c>
      <c r="G17" s="15"/>
      <c r="H17" s="11"/>
    </row>
    <row r="18" customFormat="false" ht="15" hidden="false" customHeight="false" outlineLevel="0" collapsed="false">
      <c r="A18" s="10" t="s">
        <v>5</v>
      </c>
      <c r="B18" s="11" t="s">
        <v>53</v>
      </c>
      <c r="C18" s="12" t="n">
        <v>1</v>
      </c>
      <c r="D18" s="10" t="s">
        <v>38</v>
      </c>
      <c r="E18" s="13" t="n">
        <v>30</v>
      </c>
      <c r="F18" s="14" t="n">
        <f aca="false">C18*E18</f>
        <v>30</v>
      </c>
      <c r="G18" s="15"/>
      <c r="H18" s="11"/>
    </row>
    <row r="19" customFormat="false" ht="15" hidden="false" customHeight="false" outlineLevel="0" collapsed="false">
      <c r="A19" s="10" t="s">
        <v>5</v>
      </c>
      <c r="B19" s="11" t="s">
        <v>54</v>
      </c>
      <c r="C19" s="12" t="n">
        <v>1</v>
      </c>
      <c r="D19" s="10" t="s">
        <v>27</v>
      </c>
      <c r="E19" s="13" t="n">
        <v>15</v>
      </c>
      <c r="F19" s="14" t="n">
        <f aca="false">C19*E19</f>
        <v>15</v>
      </c>
      <c r="G19" s="15"/>
      <c r="H19" s="11" t="s">
        <v>55</v>
      </c>
    </row>
    <row r="20" customFormat="false" ht="26.85" hidden="false" customHeight="false" outlineLevel="0" collapsed="false">
      <c r="A20" s="10" t="s">
        <v>5</v>
      </c>
      <c r="B20" s="11" t="s">
        <v>56</v>
      </c>
      <c r="C20" s="12" t="n">
        <v>1</v>
      </c>
      <c r="D20" s="10" t="s">
        <v>57</v>
      </c>
      <c r="E20" s="13" t="n">
        <v>30</v>
      </c>
      <c r="F20" s="14" t="n">
        <f aca="false">C20*E20</f>
        <v>30</v>
      </c>
      <c r="G20" s="15"/>
      <c r="H20" s="11" t="s">
        <v>58</v>
      </c>
    </row>
    <row r="21" customFormat="false" ht="15" hidden="false" customHeight="false" outlineLevel="0" collapsed="false">
      <c r="A21" s="10" t="s">
        <v>6</v>
      </c>
      <c r="B21" s="11" t="s">
        <v>59</v>
      </c>
      <c r="C21" s="12" t="n">
        <v>2</v>
      </c>
      <c r="D21" s="10" t="s">
        <v>27</v>
      </c>
      <c r="E21" s="13" t="n">
        <v>25</v>
      </c>
      <c r="F21" s="14" t="n">
        <f aca="false">C21*E21</f>
        <v>50</v>
      </c>
      <c r="G21" s="15"/>
      <c r="H21" s="11"/>
    </row>
    <row r="22" customFormat="false" ht="15" hidden="false" customHeight="false" outlineLevel="0" collapsed="false">
      <c r="A22" s="10" t="s">
        <v>6</v>
      </c>
      <c r="B22" s="11" t="s">
        <v>60</v>
      </c>
      <c r="C22" s="12" t="n">
        <v>1</v>
      </c>
      <c r="D22" s="10" t="s">
        <v>38</v>
      </c>
      <c r="E22" s="13" t="n">
        <v>40</v>
      </c>
      <c r="F22" s="14" t="n">
        <f aca="false">C22*E22</f>
        <v>40</v>
      </c>
      <c r="G22" s="15"/>
      <c r="H22" s="11"/>
    </row>
    <row r="23" customFormat="false" ht="15" hidden="false" customHeight="false" outlineLevel="0" collapsed="false">
      <c r="A23" s="10" t="s">
        <v>6</v>
      </c>
      <c r="B23" s="11" t="s">
        <v>61</v>
      </c>
      <c r="C23" s="12" t="n">
        <v>1</v>
      </c>
      <c r="D23" s="10" t="s">
        <v>57</v>
      </c>
      <c r="E23" s="13" t="n">
        <v>80</v>
      </c>
      <c r="F23" s="14" t="n">
        <f aca="false">C23*E23</f>
        <v>80</v>
      </c>
      <c r="G23" s="15"/>
      <c r="H23" s="11"/>
    </row>
    <row r="24" customFormat="false" ht="15" hidden="false" customHeight="false" outlineLevel="0" collapsed="false">
      <c r="A24" s="10" t="s">
        <v>6</v>
      </c>
      <c r="B24" s="11" t="s">
        <v>62</v>
      </c>
      <c r="C24" s="12" t="n">
        <v>2</v>
      </c>
      <c r="D24" s="10" t="s">
        <v>27</v>
      </c>
      <c r="E24" s="13" t="n">
        <v>30</v>
      </c>
      <c r="F24" s="14" t="n">
        <f aca="false">C24*E24</f>
        <v>60</v>
      </c>
      <c r="G24" s="15"/>
      <c r="H24" s="11"/>
    </row>
    <row r="25" customFormat="false" ht="15" hidden="false" customHeight="false" outlineLevel="0" collapsed="false">
      <c r="A25" s="10" t="s">
        <v>6</v>
      </c>
      <c r="B25" s="11" t="s">
        <v>63</v>
      </c>
      <c r="C25" s="12" t="n">
        <v>1</v>
      </c>
      <c r="D25" s="10" t="s">
        <v>57</v>
      </c>
      <c r="E25" s="13" t="n">
        <v>100</v>
      </c>
      <c r="F25" s="14" t="n">
        <f aca="false">C25*E25</f>
        <v>100</v>
      </c>
      <c r="G25" s="15"/>
      <c r="H25" s="11" t="s">
        <v>64</v>
      </c>
    </row>
    <row r="26" customFormat="false" ht="15" hidden="false" customHeight="false" outlineLevel="0" collapsed="false">
      <c r="A26" s="10" t="s">
        <v>7</v>
      </c>
      <c r="B26" s="11" t="s">
        <v>65</v>
      </c>
      <c r="C26" s="12" t="n">
        <v>8</v>
      </c>
      <c r="D26" s="10" t="s">
        <v>52</v>
      </c>
      <c r="E26" s="13" t="n">
        <v>25</v>
      </c>
      <c r="F26" s="14" t="n">
        <f aca="false">C26*E26</f>
        <v>200</v>
      </c>
      <c r="G26" s="15"/>
      <c r="H26" s="11" t="s">
        <v>66</v>
      </c>
    </row>
    <row r="27" customFormat="false" ht="15" hidden="false" customHeight="false" outlineLevel="0" collapsed="false">
      <c r="A27" s="10" t="s">
        <v>7</v>
      </c>
      <c r="B27" s="11" t="s">
        <v>67</v>
      </c>
      <c r="C27" s="12" t="n">
        <v>1</v>
      </c>
      <c r="D27" s="10" t="s">
        <v>68</v>
      </c>
      <c r="E27" s="13" t="n">
        <v>40</v>
      </c>
      <c r="F27" s="14" t="n">
        <f aca="false">C27*E27</f>
        <v>40</v>
      </c>
      <c r="G27" s="15"/>
      <c r="H27" s="11"/>
    </row>
    <row r="28" customFormat="false" ht="15" hidden="false" customHeight="false" outlineLevel="0" collapsed="false">
      <c r="A28" s="10" t="s">
        <v>7</v>
      </c>
      <c r="B28" s="11" t="s">
        <v>69</v>
      </c>
      <c r="C28" s="12" t="n">
        <v>8</v>
      </c>
      <c r="D28" s="10" t="s">
        <v>52</v>
      </c>
      <c r="E28" s="13" t="n">
        <v>30</v>
      </c>
      <c r="F28" s="14" t="n">
        <f aca="false">C28*E28</f>
        <v>240</v>
      </c>
      <c r="G28" s="15"/>
      <c r="H28" s="11"/>
    </row>
    <row r="29" customFormat="false" ht="15" hidden="false" customHeight="false" outlineLevel="0" collapsed="false">
      <c r="A29" s="10" t="s">
        <v>7</v>
      </c>
      <c r="B29" s="11" t="s">
        <v>70</v>
      </c>
      <c r="C29" s="12" t="n">
        <v>1</v>
      </c>
      <c r="D29" s="10" t="s">
        <v>38</v>
      </c>
      <c r="E29" s="13" t="n">
        <v>100</v>
      </c>
      <c r="F29" s="14" t="n">
        <f aca="false">C29*E29</f>
        <v>100</v>
      </c>
      <c r="G29" s="15"/>
      <c r="H29" s="11" t="s">
        <v>71</v>
      </c>
    </row>
    <row r="30" customFormat="false" ht="15" hidden="false" customHeight="false" outlineLevel="0" collapsed="false">
      <c r="A30" s="10" t="s">
        <v>7</v>
      </c>
      <c r="B30" s="11" t="s">
        <v>72</v>
      </c>
      <c r="C30" s="12" t="n">
        <v>2</v>
      </c>
      <c r="D30" s="10" t="s">
        <v>52</v>
      </c>
      <c r="E30" s="13" t="n">
        <v>50</v>
      </c>
      <c r="F30" s="14" t="n">
        <f aca="false">C30*E30</f>
        <v>100</v>
      </c>
      <c r="G30" s="15"/>
      <c r="H30" s="11"/>
    </row>
    <row r="31" customFormat="false" ht="15" hidden="false" customHeight="false" outlineLevel="0" collapsed="false">
      <c r="A31" s="10" t="s">
        <v>7</v>
      </c>
      <c r="B31" s="11" t="s">
        <v>73</v>
      </c>
      <c r="C31" s="12" t="n">
        <v>1</v>
      </c>
      <c r="D31" s="10" t="s">
        <v>74</v>
      </c>
      <c r="E31" s="13" t="n">
        <v>40</v>
      </c>
      <c r="F31" s="14" t="n">
        <f aca="false">C31*E31</f>
        <v>40</v>
      </c>
      <c r="G31" s="15"/>
      <c r="H31" s="11" t="s">
        <v>75</v>
      </c>
    </row>
    <row r="32" customFormat="false" ht="15" hidden="false" customHeight="false" outlineLevel="0" collapsed="false">
      <c r="A32" s="10" t="s">
        <v>8</v>
      </c>
      <c r="B32" s="11" t="s">
        <v>76</v>
      </c>
      <c r="C32" s="12" t="n">
        <v>14</v>
      </c>
      <c r="D32" s="10" t="s">
        <v>27</v>
      </c>
      <c r="E32" s="13" t="n">
        <v>18</v>
      </c>
      <c r="F32" s="14" t="n">
        <f aca="false">C32*E32</f>
        <v>252</v>
      </c>
      <c r="G32" s="15"/>
      <c r="H32" s="11" t="s">
        <v>77</v>
      </c>
    </row>
    <row r="33" customFormat="false" ht="15" hidden="false" customHeight="false" outlineLevel="0" collapsed="false">
      <c r="A33" s="10" t="s">
        <v>8</v>
      </c>
      <c r="B33" s="11" t="s">
        <v>78</v>
      </c>
      <c r="C33" s="12" t="n">
        <v>4</v>
      </c>
      <c r="D33" s="10" t="s">
        <v>27</v>
      </c>
      <c r="E33" s="13" t="n">
        <v>15</v>
      </c>
      <c r="F33" s="14" t="n">
        <f aca="false">C33*E33</f>
        <v>60</v>
      </c>
      <c r="G33" s="15"/>
      <c r="H33" s="11"/>
    </row>
    <row r="34" customFormat="false" ht="15" hidden="false" customHeight="false" outlineLevel="0" collapsed="false">
      <c r="A34" s="10" t="s">
        <v>8</v>
      </c>
      <c r="B34" s="11" t="s">
        <v>79</v>
      </c>
      <c r="C34" s="12" t="n">
        <v>12</v>
      </c>
      <c r="D34" s="10" t="s">
        <v>27</v>
      </c>
      <c r="E34" s="13" t="n">
        <v>6</v>
      </c>
      <c r="F34" s="14" t="n">
        <f aca="false">C34*E34</f>
        <v>72</v>
      </c>
      <c r="G34" s="15"/>
      <c r="H34" s="11" t="s">
        <v>80</v>
      </c>
    </row>
    <row r="35" customFormat="false" ht="15" hidden="false" customHeight="false" outlineLevel="0" collapsed="false">
      <c r="A35" s="10" t="s">
        <v>8</v>
      </c>
      <c r="B35" s="11" t="s">
        <v>81</v>
      </c>
      <c r="C35" s="12" t="n">
        <v>1</v>
      </c>
      <c r="D35" s="10" t="s">
        <v>38</v>
      </c>
      <c r="E35" s="13" t="n">
        <v>50</v>
      </c>
      <c r="F35" s="14" t="n">
        <f aca="false">C35*E35</f>
        <v>50</v>
      </c>
      <c r="G35" s="15"/>
      <c r="H35" s="11"/>
    </row>
    <row r="36" customFormat="false" ht="15" hidden="false" customHeight="false" outlineLevel="0" collapsed="false">
      <c r="A36" s="10" t="s">
        <v>8</v>
      </c>
      <c r="B36" s="11" t="s">
        <v>82</v>
      </c>
      <c r="C36" s="12" t="n">
        <v>6</v>
      </c>
      <c r="D36" s="10" t="s">
        <v>27</v>
      </c>
      <c r="E36" s="13" t="n">
        <v>5</v>
      </c>
      <c r="F36" s="14" t="n">
        <f aca="false">C36*E36</f>
        <v>30</v>
      </c>
      <c r="G36" s="15"/>
      <c r="H36" s="11"/>
    </row>
    <row r="37" customFormat="false" ht="15" hidden="false" customHeight="false" outlineLevel="0" collapsed="false">
      <c r="A37" s="10" t="s">
        <v>8</v>
      </c>
      <c r="B37" s="11" t="s">
        <v>83</v>
      </c>
      <c r="C37" s="12" t="n">
        <v>2</v>
      </c>
      <c r="D37" s="10" t="s">
        <v>52</v>
      </c>
      <c r="E37" s="13" t="n">
        <v>45</v>
      </c>
      <c r="F37" s="14" t="n">
        <f aca="false">C37*E37</f>
        <v>90</v>
      </c>
      <c r="G37" s="15"/>
      <c r="H37" s="11"/>
    </row>
    <row r="38" customFormat="false" ht="15" hidden="false" customHeight="false" outlineLevel="0" collapsed="false">
      <c r="A38" s="10" t="s">
        <v>8</v>
      </c>
      <c r="B38" s="11" t="s">
        <v>84</v>
      </c>
      <c r="C38" s="12" t="n">
        <v>1</v>
      </c>
      <c r="D38" s="10" t="s">
        <v>27</v>
      </c>
      <c r="E38" s="13" t="n">
        <v>30</v>
      </c>
      <c r="F38" s="14" t="n">
        <f aca="false">C38*E38</f>
        <v>30</v>
      </c>
      <c r="G38" s="15"/>
      <c r="H38" s="11"/>
    </row>
    <row r="39" customFormat="false" ht="15" hidden="false" customHeight="false" outlineLevel="0" collapsed="false">
      <c r="A39" s="10" t="s">
        <v>8</v>
      </c>
      <c r="B39" s="11" t="s">
        <v>85</v>
      </c>
      <c r="C39" s="12" t="n">
        <v>1</v>
      </c>
      <c r="D39" s="10" t="s">
        <v>27</v>
      </c>
      <c r="E39" s="13" t="n">
        <v>150</v>
      </c>
      <c r="F39" s="14" t="n">
        <f aca="false">C39*E39</f>
        <v>150</v>
      </c>
      <c r="G39" s="15"/>
      <c r="H39" s="11"/>
    </row>
    <row r="40" customFormat="false" ht="15" hidden="false" customHeight="false" outlineLevel="0" collapsed="false">
      <c r="A40" s="10" t="s">
        <v>8</v>
      </c>
      <c r="B40" s="11" t="s">
        <v>86</v>
      </c>
      <c r="C40" s="12" t="n">
        <v>1</v>
      </c>
      <c r="D40" s="10" t="s">
        <v>27</v>
      </c>
      <c r="E40" s="13" t="n">
        <v>50</v>
      </c>
      <c r="F40" s="14" t="n">
        <f aca="false">C40*E40</f>
        <v>50</v>
      </c>
      <c r="G40" s="15"/>
      <c r="H40" s="11"/>
    </row>
    <row r="41" customFormat="false" ht="15" hidden="false" customHeight="false" outlineLevel="0" collapsed="false">
      <c r="A41" s="10" t="s">
        <v>8</v>
      </c>
      <c r="B41" s="11" t="s">
        <v>87</v>
      </c>
      <c r="C41" s="12" t="n">
        <v>1</v>
      </c>
      <c r="D41" s="10" t="s">
        <v>38</v>
      </c>
      <c r="E41" s="13" t="n">
        <v>100</v>
      </c>
      <c r="F41" s="14" t="n">
        <f aca="false">C41*E41</f>
        <v>100</v>
      </c>
      <c r="G41" s="15"/>
      <c r="H41" s="11"/>
    </row>
    <row r="42" customFormat="false" ht="26.85" hidden="false" customHeight="false" outlineLevel="0" collapsed="false">
      <c r="A42" s="10" t="s">
        <v>9</v>
      </c>
      <c r="B42" s="11" t="s">
        <v>88</v>
      </c>
      <c r="C42" s="12" t="n">
        <v>1</v>
      </c>
      <c r="D42" s="10" t="s">
        <v>27</v>
      </c>
      <c r="E42" s="13" t="n">
        <v>976</v>
      </c>
      <c r="F42" s="14" t="n">
        <f aca="false">C42*E42</f>
        <v>976</v>
      </c>
      <c r="G42" s="15"/>
      <c r="H42" s="11" t="s">
        <v>89</v>
      </c>
    </row>
    <row r="43" customFormat="false" ht="15" hidden="false" customHeight="false" outlineLevel="0" collapsed="false">
      <c r="A43" s="10" t="s">
        <v>9</v>
      </c>
      <c r="B43" s="11" t="s">
        <v>90</v>
      </c>
      <c r="C43" s="12" t="n">
        <v>1</v>
      </c>
      <c r="D43" s="10" t="s">
        <v>38</v>
      </c>
      <c r="E43" s="13" t="n">
        <v>40</v>
      </c>
      <c r="F43" s="14" t="n">
        <f aca="false">C43*E43</f>
        <v>40</v>
      </c>
      <c r="G43" s="15"/>
      <c r="H43" s="11" t="s">
        <v>91</v>
      </c>
    </row>
    <row r="44" customFormat="false" ht="26.85" hidden="false" customHeight="false" outlineLevel="0" collapsed="false">
      <c r="A44" s="10" t="s">
        <v>9</v>
      </c>
      <c r="B44" s="11" t="s">
        <v>92</v>
      </c>
      <c r="C44" s="12" t="n">
        <v>1</v>
      </c>
      <c r="D44" s="10" t="s">
        <v>38</v>
      </c>
      <c r="E44" s="13" t="n">
        <v>80</v>
      </c>
      <c r="F44" s="14" t="n">
        <f aca="false">C44*E44</f>
        <v>80</v>
      </c>
      <c r="G44" s="15"/>
      <c r="H44" s="11" t="s">
        <v>93</v>
      </c>
    </row>
    <row r="45" customFormat="false" ht="26.85" hidden="false" customHeight="false" outlineLevel="0" collapsed="false">
      <c r="A45" s="10" t="s">
        <v>9</v>
      </c>
      <c r="B45" s="11" t="s">
        <v>94</v>
      </c>
      <c r="C45" s="12" t="n">
        <v>1</v>
      </c>
      <c r="D45" s="10" t="s">
        <v>27</v>
      </c>
      <c r="E45" s="13" t="n">
        <v>150</v>
      </c>
      <c r="F45" s="14" t="n">
        <f aca="false">C45*E45</f>
        <v>150</v>
      </c>
      <c r="G45" s="15"/>
      <c r="H45" s="11" t="s">
        <v>95</v>
      </c>
    </row>
    <row r="46" customFormat="false" ht="15" hidden="false" customHeight="false" outlineLevel="0" collapsed="false">
      <c r="A46" s="10" t="s">
        <v>9</v>
      </c>
      <c r="B46" s="11" t="s">
        <v>96</v>
      </c>
      <c r="C46" s="12" t="n">
        <v>1</v>
      </c>
      <c r="D46" s="10" t="s">
        <v>38</v>
      </c>
      <c r="E46" s="13" t="n">
        <v>20</v>
      </c>
      <c r="F46" s="14" t="n">
        <f aca="false">C46*E46</f>
        <v>20</v>
      </c>
      <c r="G46" s="15"/>
      <c r="H46" s="11"/>
    </row>
    <row r="47" customFormat="false" ht="15" hidden="false" customHeight="false" outlineLevel="0" collapsed="false">
      <c r="A47" s="10" t="s">
        <v>9</v>
      </c>
      <c r="B47" s="11" t="s">
        <v>97</v>
      </c>
      <c r="C47" s="12" t="n">
        <v>1</v>
      </c>
      <c r="D47" s="10" t="s">
        <v>27</v>
      </c>
      <c r="E47" s="13" t="n">
        <v>200</v>
      </c>
      <c r="F47" s="14" t="n">
        <f aca="false">C47*E47</f>
        <v>200</v>
      </c>
      <c r="G47" s="15"/>
      <c r="H47" s="11" t="s">
        <v>98</v>
      </c>
    </row>
    <row r="48" customFormat="false" ht="15" hidden="false" customHeight="false" outlineLevel="0" collapsed="false">
      <c r="A48" s="10" t="s">
        <v>9</v>
      </c>
      <c r="B48" s="11" t="s">
        <v>99</v>
      </c>
      <c r="C48" s="12" t="n">
        <v>1</v>
      </c>
      <c r="D48" s="10" t="s">
        <v>27</v>
      </c>
      <c r="E48" s="13" t="n">
        <v>40</v>
      </c>
      <c r="F48" s="14" t="n">
        <f aca="false">C48*E48</f>
        <v>40</v>
      </c>
      <c r="G48" s="15"/>
      <c r="H48" s="11"/>
    </row>
    <row r="49" customFormat="false" ht="15" hidden="false" customHeight="false" outlineLevel="0" collapsed="false">
      <c r="A49" s="10" t="s">
        <v>9</v>
      </c>
      <c r="B49" s="11" t="s">
        <v>100</v>
      </c>
      <c r="C49" s="12" t="n">
        <v>1</v>
      </c>
      <c r="D49" s="10" t="s">
        <v>27</v>
      </c>
      <c r="E49" s="13" t="n">
        <v>25</v>
      </c>
      <c r="F49" s="14" t="n">
        <f aca="false">C49*E49</f>
        <v>25</v>
      </c>
      <c r="G49" s="15"/>
      <c r="H49" s="11"/>
    </row>
    <row r="50" customFormat="false" ht="26.85" hidden="false" customHeight="false" outlineLevel="0" collapsed="false">
      <c r="A50" s="10" t="s">
        <v>10</v>
      </c>
      <c r="B50" s="11" t="s">
        <v>101</v>
      </c>
      <c r="C50" s="12" t="n">
        <v>1</v>
      </c>
      <c r="D50" s="10" t="s">
        <v>27</v>
      </c>
      <c r="E50" s="13" t="n">
        <v>450</v>
      </c>
      <c r="F50" s="14" t="n">
        <f aca="false">C50*E50</f>
        <v>450</v>
      </c>
      <c r="G50" s="15"/>
      <c r="H50" s="11" t="s">
        <v>102</v>
      </c>
    </row>
    <row r="51" customFormat="false" ht="26.85" hidden="false" customHeight="false" outlineLevel="0" collapsed="false">
      <c r="A51" s="10" t="s">
        <v>10</v>
      </c>
      <c r="B51" s="11" t="s">
        <v>103</v>
      </c>
      <c r="C51" s="12" t="n">
        <v>1</v>
      </c>
      <c r="D51" s="10" t="s">
        <v>27</v>
      </c>
      <c r="E51" s="13" t="n">
        <v>367</v>
      </c>
      <c r="F51" s="14" t="n">
        <f aca="false">C51*E51</f>
        <v>367</v>
      </c>
      <c r="G51" s="15"/>
      <c r="H51" s="11" t="s">
        <v>104</v>
      </c>
    </row>
    <row r="52" customFormat="false" ht="15" hidden="false" customHeight="false" outlineLevel="0" collapsed="false">
      <c r="A52" s="10" t="s">
        <v>10</v>
      </c>
      <c r="B52" s="11" t="s">
        <v>105</v>
      </c>
      <c r="C52" s="12" t="n">
        <v>1</v>
      </c>
      <c r="D52" s="10" t="s">
        <v>27</v>
      </c>
      <c r="E52" s="13" t="n">
        <v>60</v>
      </c>
      <c r="F52" s="14" t="n">
        <f aca="false">C52*E52</f>
        <v>60</v>
      </c>
      <c r="G52" s="15"/>
      <c r="H52" s="11"/>
    </row>
    <row r="53" customFormat="false" ht="15" hidden="false" customHeight="false" outlineLevel="0" collapsed="false">
      <c r="A53" s="10" t="s">
        <v>10</v>
      </c>
      <c r="B53" s="11" t="s">
        <v>106</v>
      </c>
      <c r="C53" s="12" t="n">
        <v>1</v>
      </c>
      <c r="D53" s="10" t="s">
        <v>27</v>
      </c>
      <c r="E53" s="13" t="n">
        <v>150</v>
      </c>
      <c r="F53" s="14" t="n">
        <f aca="false">C53*E53</f>
        <v>150</v>
      </c>
      <c r="G53" s="15"/>
      <c r="H53" s="11" t="s">
        <v>107</v>
      </c>
    </row>
    <row r="54" customFormat="false" ht="26.85" hidden="false" customHeight="false" outlineLevel="0" collapsed="false">
      <c r="A54" s="10" t="s">
        <v>10</v>
      </c>
      <c r="B54" s="11" t="s">
        <v>108</v>
      </c>
      <c r="C54" s="12" t="n">
        <v>1</v>
      </c>
      <c r="D54" s="10" t="s">
        <v>57</v>
      </c>
      <c r="E54" s="13" t="n">
        <v>60</v>
      </c>
      <c r="F54" s="14" t="n">
        <f aca="false">C54*E54</f>
        <v>60</v>
      </c>
      <c r="G54" s="15"/>
      <c r="H54" s="11"/>
    </row>
    <row r="55" customFormat="false" ht="26.85" hidden="false" customHeight="false" outlineLevel="0" collapsed="false">
      <c r="A55" s="10" t="s">
        <v>10</v>
      </c>
      <c r="B55" s="11" t="s">
        <v>109</v>
      </c>
      <c r="C55" s="12" t="n">
        <v>1</v>
      </c>
      <c r="D55" s="10" t="s">
        <v>27</v>
      </c>
      <c r="E55" s="13" t="n">
        <v>0</v>
      </c>
      <c r="F55" s="14" t="n">
        <f aca="false">C55*E55</f>
        <v>0</v>
      </c>
      <c r="G55" s="15"/>
      <c r="H55" s="11" t="s">
        <v>110</v>
      </c>
    </row>
    <row r="56" customFormat="false" ht="15" hidden="false" customHeight="false" outlineLevel="0" collapsed="false">
      <c r="A56" s="10" t="s">
        <v>10</v>
      </c>
      <c r="B56" s="11" t="s">
        <v>111</v>
      </c>
      <c r="C56" s="12" t="n">
        <v>1</v>
      </c>
      <c r="D56" s="10" t="s">
        <v>57</v>
      </c>
      <c r="E56" s="13" t="n">
        <v>80</v>
      </c>
      <c r="F56" s="14" t="n">
        <f aca="false">C56*E56</f>
        <v>80</v>
      </c>
      <c r="G56" s="15"/>
      <c r="H56" s="11"/>
    </row>
    <row r="57" customFormat="false" ht="15" hidden="false" customHeight="false" outlineLevel="0" collapsed="false">
      <c r="A57" s="10" t="s">
        <v>10</v>
      </c>
      <c r="B57" s="11" t="s">
        <v>112</v>
      </c>
      <c r="C57" s="12" t="n">
        <v>1</v>
      </c>
      <c r="D57" s="10" t="s">
        <v>27</v>
      </c>
      <c r="E57" s="13" t="n">
        <v>15</v>
      </c>
      <c r="F57" s="14" t="n">
        <f aca="false">C57*E57</f>
        <v>15</v>
      </c>
      <c r="G57" s="15"/>
      <c r="H57" s="11" t="s">
        <v>113</v>
      </c>
    </row>
    <row r="58" customFormat="false" ht="26.85" hidden="false" customHeight="false" outlineLevel="0" collapsed="false">
      <c r="A58" s="10" t="s">
        <v>10</v>
      </c>
      <c r="B58" s="11" t="s">
        <v>114</v>
      </c>
      <c r="C58" s="12" t="n">
        <v>1</v>
      </c>
      <c r="D58" s="10" t="s">
        <v>38</v>
      </c>
      <c r="E58" s="13" t="n">
        <v>120</v>
      </c>
      <c r="F58" s="14" t="n">
        <f aca="false">C58*E58</f>
        <v>120</v>
      </c>
      <c r="G58" s="15"/>
      <c r="H58" s="11"/>
    </row>
    <row r="59" customFormat="false" ht="15" hidden="false" customHeight="false" outlineLevel="0" collapsed="false">
      <c r="A59" s="10" t="s">
        <v>10</v>
      </c>
      <c r="B59" s="11" t="s">
        <v>115</v>
      </c>
      <c r="C59" s="12" t="n">
        <v>1</v>
      </c>
      <c r="D59" s="10" t="s">
        <v>38</v>
      </c>
      <c r="E59" s="13" t="n">
        <v>40</v>
      </c>
      <c r="F59" s="14" t="n">
        <f aca="false">C59*E59</f>
        <v>40</v>
      </c>
      <c r="G59" s="15"/>
      <c r="H59" s="11"/>
    </row>
    <row r="60" customFormat="false" ht="15" hidden="false" customHeight="false" outlineLevel="0" collapsed="false">
      <c r="A60" s="10" t="s">
        <v>10</v>
      </c>
      <c r="B60" s="11" t="s">
        <v>116</v>
      </c>
      <c r="C60" s="12" t="n">
        <v>1</v>
      </c>
      <c r="D60" s="10" t="s">
        <v>38</v>
      </c>
      <c r="E60" s="13" t="n">
        <v>30</v>
      </c>
      <c r="F60" s="14" t="n">
        <f aca="false">C60*E60</f>
        <v>30</v>
      </c>
      <c r="G60" s="15"/>
      <c r="H60" s="11" t="s">
        <v>117</v>
      </c>
    </row>
    <row r="61" customFormat="false" ht="15" hidden="false" customHeight="false" outlineLevel="0" collapsed="false">
      <c r="A61" s="10" t="s">
        <v>10</v>
      </c>
      <c r="B61" s="11" t="s">
        <v>118</v>
      </c>
      <c r="C61" s="12" t="n">
        <v>1</v>
      </c>
      <c r="D61" s="10" t="s">
        <v>38</v>
      </c>
      <c r="E61" s="13" t="n">
        <v>20</v>
      </c>
      <c r="F61" s="14" t="n">
        <f aca="false">C61*E61</f>
        <v>20</v>
      </c>
      <c r="G61" s="15"/>
      <c r="H61" s="11" t="s">
        <v>119</v>
      </c>
    </row>
    <row r="62" customFormat="false" ht="15" hidden="false" customHeight="false" outlineLevel="0" collapsed="false">
      <c r="A62" s="10" t="s">
        <v>10</v>
      </c>
      <c r="B62" s="11" t="s">
        <v>120</v>
      </c>
      <c r="C62" s="12" t="n">
        <v>1</v>
      </c>
      <c r="D62" s="10" t="s">
        <v>27</v>
      </c>
      <c r="E62" s="13" t="n">
        <v>20</v>
      </c>
      <c r="F62" s="14" t="n">
        <f aca="false">C62*E62</f>
        <v>20</v>
      </c>
      <c r="G62" s="15"/>
      <c r="H62" s="11" t="s">
        <v>121</v>
      </c>
    </row>
    <row r="63" customFormat="false" ht="26.85" hidden="false" customHeight="false" outlineLevel="0" collapsed="false">
      <c r="A63" s="10" t="s">
        <v>10</v>
      </c>
      <c r="B63" s="11" t="s">
        <v>122</v>
      </c>
      <c r="C63" s="12" t="n">
        <v>1</v>
      </c>
      <c r="D63" s="10" t="s">
        <v>27</v>
      </c>
      <c r="E63" s="13" t="n">
        <v>0</v>
      </c>
      <c r="F63" s="14" t="n">
        <f aca="false">C63*E63</f>
        <v>0</v>
      </c>
      <c r="G63" s="15"/>
      <c r="H63" s="11" t="s">
        <v>123</v>
      </c>
    </row>
    <row r="64" customFormat="false" ht="15" hidden="false" customHeight="false" outlineLevel="0" collapsed="false">
      <c r="A64" s="10" t="s">
        <v>11</v>
      </c>
      <c r="B64" s="11" t="s">
        <v>124</v>
      </c>
      <c r="C64" s="12" t="n">
        <v>1</v>
      </c>
      <c r="D64" s="10" t="s">
        <v>27</v>
      </c>
      <c r="E64" s="13" t="n">
        <v>50</v>
      </c>
      <c r="F64" s="14" t="n">
        <f aca="false">C64*E64</f>
        <v>50</v>
      </c>
      <c r="G64" s="15"/>
      <c r="H64" s="11" t="s">
        <v>125</v>
      </c>
    </row>
    <row r="65" customFormat="false" ht="15" hidden="false" customHeight="false" outlineLevel="0" collapsed="false">
      <c r="A65" s="10" t="s">
        <v>12</v>
      </c>
      <c r="B65" s="11" t="s">
        <v>126</v>
      </c>
      <c r="C65" s="12" t="n">
        <v>1</v>
      </c>
      <c r="D65" s="10" t="s">
        <v>57</v>
      </c>
      <c r="E65" s="13" t="n">
        <v>60</v>
      </c>
      <c r="F65" s="14" t="n">
        <f aca="false">C65*E65</f>
        <v>60</v>
      </c>
      <c r="G65" s="15"/>
      <c r="H65" s="11"/>
    </row>
    <row r="66" customFormat="false" ht="15" hidden="false" customHeight="false" outlineLevel="0" collapsed="false">
      <c r="A66" s="10" t="s">
        <v>12</v>
      </c>
      <c r="B66" s="11" t="s">
        <v>127</v>
      </c>
      <c r="C66" s="12" t="n">
        <v>1</v>
      </c>
      <c r="D66" s="10" t="s">
        <v>27</v>
      </c>
      <c r="E66" s="13" t="n">
        <v>40</v>
      </c>
      <c r="F66" s="14" t="n">
        <f aca="false">C66*E66</f>
        <v>40</v>
      </c>
      <c r="G66" s="15"/>
      <c r="H66" s="11"/>
    </row>
    <row r="67" customFormat="false" ht="15" hidden="false" customHeight="false" outlineLevel="0" collapsed="false">
      <c r="A67" s="10" t="s">
        <v>12</v>
      </c>
      <c r="B67" s="11" t="s">
        <v>128</v>
      </c>
      <c r="C67" s="12" t="n">
        <v>1</v>
      </c>
      <c r="D67" s="10" t="s">
        <v>57</v>
      </c>
      <c r="E67" s="13" t="n">
        <v>30</v>
      </c>
      <c r="F67" s="14" t="n">
        <f aca="false">C67*E67</f>
        <v>30</v>
      </c>
      <c r="G67" s="15"/>
      <c r="H67" s="11"/>
    </row>
    <row r="68" customFormat="false" ht="15" hidden="false" customHeight="false" outlineLevel="0" collapsed="false">
      <c r="A68" s="10" t="s">
        <v>12</v>
      </c>
      <c r="B68" s="11" t="s">
        <v>129</v>
      </c>
      <c r="C68" s="12" t="n">
        <v>1</v>
      </c>
      <c r="D68" s="10" t="s">
        <v>27</v>
      </c>
      <c r="E68" s="13" t="n">
        <v>150</v>
      </c>
      <c r="F68" s="14" t="n">
        <f aca="false">C68*E68</f>
        <v>150</v>
      </c>
      <c r="G68" s="15"/>
      <c r="H68" s="11" t="s">
        <v>130</v>
      </c>
    </row>
    <row r="69" customFormat="false" ht="15" hidden="false" customHeight="false" outlineLevel="0" collapsed="false">
      <c r="A69" s="10" t="s">
        <v>12</v>
      </c>
      <c r="B69" s="11" t="s">
        <v>131</v>
      </c>
      <c r="C69" s="12" t="n">
        <v>1</v>
      </c>
      <c r="D69" s="10" t="s">
        <v>38</v>
      </c>
      <c r="E69" s="13" t="n">
        <v>40</v>
      </c>
      <c r="F69" s="14" t="n">
        <f aca="false">C69*E69</f>
        <v>40</v>
      </c>
      <c r="G69" s="15"/>
      <c r="H69" s="11"/>
    </row>
    <row r="70" customFormat="false" ht="26.85" hidden="false" customHeight="false" outlineLevel="0" collapsed="false">
      <c r="A70" s="10" t="s">
        <v>12</v>
      </c>
      <c r="B70" s="11" t="s">
        <v>132</v>
      </c>
      <c r="C70" s="12" t="n">
        <v>1</v>
      </c>
      <c r="D70" s="10" t="s">
        <v>38</v>
      </c>
      <c r="E70" s="13" t="n">
        <v>60</v>
      </c>
      <c r="F70" s="14" t="n">
        <f aca="false">C70*E70</f>
        <v>60</v>
      </c>
      <c r="G70" s="15"/>
      <c r="H70" s="11"/>
    </row>
    <row r="71" customFormat="false" ht="26.85" hidden="false" customHeight="false" outlineLevel="0" collapsed="false">
      <c r="A71" s="10" t="s">
        <v>12</v>
      </c>
      <c r="B71" s="11" t="s">
        <v>133</v>
      </c>
      <c r="C71" s="12" t="n">
        <v>1</v>
      </c>
      <c r="D71" s="10" t="s">
        <v>27</v>
      </c>
      <c r="E71" s="13" t="n">
        <v>85</v>
      </c>
      <c r="F71" s="14" t="n">
        <f aca="false">C71*E71</f>
        <v>85</v>
      </c>
      <c r="G71" s="15"/>
      <c r="H71" s="11" t="s">
        <v>134</v>
      </c>
    </row>
    <row r="72" customFormat="false" ht="15" hidden="false" customHeight="false" outlineLevel="0" collapsed="false">
      <c r="A72" s="10" t="s">
        <v>12</v>
      </c>
      <c r="B72" s="11" t="s">
        <v>135</v>
      </c>
      <c r="C72" s="12" t="n">
        <v>1</v>
      </c>
      <c r="D72" s="10" t="s">
        <v>57</v>
      </c>
      <c r="E72" s="13" t="n">
        <v>40</v>
      </c>
      <c r="F72" s="14" t="n">
        <f aca="false">C72*E72</f>
        <v>40</v>
      </c>
      <c r="G72" s="15"/>
      <c r="H72" s="11"/>
    </row>
    <row r="73" customFormat="false" ht="15" hidden="false" customHeight="false" outlineLevel="0" collapsed="false">
      <c r="A73" s="10" t="s">
        <v>12</v>
      </c>
      <c r="B73" s="11" t="s">
        <v>136</v>
      </c>
      <c r="C73" s="12" t="n">
        <v>1</v>
      </c>
      <c r="D73" s="10" t="s">
        <v>38</v>
      </c>
      <c r="E73" s="13" t="n">
        <v>20</v>
      </c>
      <c r="F73" s="14" t="n">
        <f aca="false">C73*E73</f>
        <v>20</v>
      </c>
      <c r="G73" s="15"/>
      <c r="H73" s="11" t="s">
        <v>137</v>
      </c>
    </row>
    <row r="74" customFormat="false" ht="15" hidden="false" customHeight="false" outlineLevel="0" collapsed="false">
      <c r="A74" s="10" t="s">
        <v>13</v>
      </c>
      <c r="B74" s="11" t="s">
        <v>138</v>
      </c>
      <c r="C74" s="12" t="n">
        <v>1</v>
      </c>
      <c r="D74" s="10" t="s">
        <v>57</v>
      </c>
      <c r="E74" s="13" t="n">
        <v>60</v>
      </c>
      <c r="F74" s="14" t="n">
        <f aca="false">C74*E74</f>
        <v>60</v>
      </c>
      <c r="G74" s="15"/>
      <c r="H74" s="11" t="s">
        <v>139</v>
      </c>
    </row>
    <row r="75" customFormat="false" ht="15" hidden="false" customHeight="false" outlineLevel="0" collapsed="false">
      <c r="A75" s="10" t="s">
        <v>13</v>
      </c>
      <c r="B75" s="11" t="s">
        <v>140</v>
      </c>
      <c r="C75" s="12" t="n">
        <v>1</v>
      </c>
      <c r="D75" s="10" t="s">
        <v>27</v>
      </c>
      <c r="E75" s="13" t="n">
        <v>0</v>
      </c>
      <c r="F75" s="14" t="n">
        <f aca="false">C75*E75</f>
        <v>0</v>
      </c>
      <c r="G75" s="15"/>
      <c r="H75" s="11" t="s">
        <v>141</v>
      </c>
    </row>
    <row r="76" customFormat="false" ht="15" hidden="false" customHeight="false" outlineLevel="0" collapsed="false">
      <c r="A76" s="10" t="s">
        <v>14</v>
      </c>
      <c r="B76" s="11" t="s">
        <v>142</v>
      </c>
      <c r="C76" s="12" t="n">
        <v>1</v>
      </c>
      <c r="D76" s="10" t="s">
        <v>143</v>
      </c>
      <c r="E76" s="13" t="n">
        <v>300</v>
      </c>
      <c r="F76" s="14" t="n">
        <f aca="false">C76*E76</f>
        <v>300</v>
      </c>
      <c r="G76" s="15"/>
      <c r="H76" s="11" t="s">
        <v>144</v>
      </c>
    </row>
    <row r="77" customFormat="false" ht="15" hidden="false" customHeight="false" outlineLevel="0" collapsed="false">
      <c r="A77" s="10" t="s">
        <v>14</v>
      </c>
      <c r="B77" s="11" t="s">
        <v>145</v>
      </c>
      <c r="C77" s="12" t="n">
        <v>3</v>
      </c>
      <c r="D77" s="10" t="s">
        <v>27</v>
      </c>
      <c r="E77" s="13" t="n">
        <v>100</v>
      </c>
      <c r="F77" s="14" t="n">
        <f aca="false">C77*E77</f>
        <v>300</v>
      </c>
      <c r="G77" s="15"/>
      <c r="H77" s="11" t="s">
        <v>144</v>
      </c>
    </row>
    <row r="78" customFormat="false" ht="15" hidden="false" customHeight="false" outlineLevel="0" collapsed="false">
      <c r="B78" s="5" t="s">
        <v>146</v>
      </c>
      <c r="F78" s="16" t="n">
        <f aca="false">SUM(F5:F77)</f>
        <v>7062</v>
      </c>
      <c r="G78" s="16" t="n">
        <f aca="false">SUM(G5:G77)</f>
        <v>0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2026-10-15T11:01:32Z</dcterms:created>
  <dc:creator>openpyxl</dc:creator>
  <dc:description/>
  <dc:language>en-US</dc:language>
  <cp:lastModifiedBy/>
  <dcterms:modified xsi:type="dcterms:W3CDTF">2026-10-15T11:01:32Z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